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rhr-my.sharepoint.com/personal/mhorvat3_fer_hr/Documents/_Moji članci i predavanja/219_Članak 2026_Iva Ursić_Klara Krmpotić/04_Recenzija/01_NovaVerzija/"/>
    </mc:Choice>
  </mc:AlternateContent>
  <xr:revisionPtr revIDLastSave="128" documentId="8_{8C03FE9B-DFE6-400D-A3F8-060005FF1DFE}" xr6:coauthVersionLast="47" xr6:coauthVersionMax="47" xr10:uidLastSave="{B704B8BB-92B0-4CE0-93F6-C5CD745073D0}"/>
  <bookViews>
    <workbookView xWindow="-105" yWindow="0" windowWidth="19410" windowHeight="20985" xr2:uid="{67F78B1E-582E-4B34-BFB6-4423F438AE39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8" i="1" l="1"/>
  <c r="J17" i="1"/>
  <c r="J16" i="1"/>
  <c r="J15" i="1"/>
  <c r="I18" i="1"/>
  <c r="I17" i="1"/>
  <c r="I16" i="1"/>
  <c r="I15" i="1"/>
  <c r="J4" i="1"/>
  <c r="J5" i="1"/>
  <c r="J6" i="1"/>
  <c r="J7" i="1"/>
  <c r="J8" i="1"/>
  <c r="J9" i="1"/>
  <c r="J10" i="1"/>
  <c r="J11" i="1"/>
  <c r="J12" i="1"/>
  <c r="J13" i="1"/>
  <c r="J14" i="1"/>
  <c r="J3" i="1"/>
  <c r="I4" i="1"/>
  <c r="I5" i="1"/>
  <c r="I6" i="1"/>
  <c r="I7" i="1"/>
  <c r="I8" i="1"/>
  <c r="I9" i="1"/>
  <c r="I10" i="1"/>
  <c r="I11" i="1"/>
  <c r="I12" i="1"/>
  <c r="I13" i="1"/>
  <c r="I14" i="1"/>
  <c r="I3" i="1"/>
  <c r="D15" i="1"/>
  <c r="E15" i="1"/>
  <c r="F15" i="1"/>
  <c r="G15" i="1"/>
  <c r="H15" i="1"/>
  <c r="D16" i="1"/>
  <c r="E16" i="1"/>
  <c r="F16" i="1"/>
  <c r="G16" i="1"/>
  <c r="H16" i="1"/>
  <c r="C16" i="1"/>
  <c r="C15" i="1"/>
  <c r="D18" i="1"/>
  <c r="E18" i="1"/>
  <c r="F18" i="1"/>
  <c r="G18" i="1"/>
  <c r="H18" i="1"/>
  <c r="C18" i="1"/>
  <c r="D17" i="1"/>
  <c r="E17" i="1"/>
  <c r="F17" i="1"/>
  <c r="G17" i="1"/>
  <c r="H17" i="1"/>
  <c r="C17" i="1"/>
</calcChain>
</file>

<file path=xl/sharedStrings.xml><?xml version="1.0" encoding="utf-8"?>
<sst xmlns="http://schemas.openxmlformats.org/spreadsheetml/2006/main" count="49" uniqueCount="32">
  <si>
    <t>Domain model</t>
  </si>
  <si>
    <t>Implementing entities and JPA relations.</t>
  </si>
  <si>
    <t>Applying validation annotations</t>
  </si>
  <si>
    <t>CRUD architecture</t>
  </si>
  <si>
    <t>Generating complete layers (Repo, Service, Controller)</t>
  </si>
  <si>
    <t>Implementing CRUD endpoint for Customer and Order entities</t>
  </si>
  <si>
    <t>Implementing CRUD endpoint for Product and OrderItem entities</t>
  </si>
  <si>
    <t>Advanced functionality</t>
  </si>
  <si>
    <t>Implementing filtering and product sorting</t>
  </si>
  <si>
    <t>Implementing aggregation (Top 5 products retrieval).</t>
  </si>
  <si>
    <t>Implementing order retrieval by user</t>
  </si>
  <si>
    <t>Configuration</t>
  </si>
  <si>
    <t>Correct configuration for PostgreSQL database</t>
  </si>
  <si>
    <t>Testing</t>
  </si>
  <si>
    <t>Generating unit tests (Service)</t>
  </si>
  <si>
    <t>Generating integration tests (Repo)</t>
  </si>
  <si>
    <t>Generating integration tests (Controller)</t>
  </si>
  <si>
    <t>Evaluator 1</t>
  </si>
  <si>
    <t>Evaluator 2</t>
  </si>
  <si>
    <t>Evaluator 3</t>
  </si>
  <si>
    <t>Gemini</t>
  </si>
  <si>
    <t>DeepSeek</t>
  </si>
  <si>
    <t>Total points</t>
  </si>
  <si>
    <t>Success Ratio (%)</t>
  </si>
  <si>
    <t>Average</t>
  </si>
  <si>
    <t>Std</t>
  </si>
  <si>
    <t>Test</t>
  </si>
  <si>
    <t>Unanimous Agreement Rate</t>
  </si>
  <si>
    <t>Report the Unanimous Success Rate is defined as: the percentage of features received a 1.0 from all three raters</t>
  </si>
  <si>
    <t>The Fleiss' Kappa statistical measure</t>
  </si>
  <si>
    <t>Aggregated</t>
  </si>
  <si>
    <t>Test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</si>
</sst>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0" fontId="0" fillId="0" borderId="0" xfId="0" applyNumberFormat="1"/>
    <xf numFmtId="0" fontId="1" fillId="0" borderId="0" xfId="0" applyFont="1"/>
    <xf numFmtId="0" fontId="2" fillId="0" borderId="0" xfId="0" applyFont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21" xfId="0" applyBorder="1"/>
    <xf numFmtId="0" fontId="0" fillId="0" borderId="22" xfId="0" applyBorder="1"/>
    <xf numFmtId="0" fontId="1" fillId="0" borderId="1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26" xfId="0" applyBorder="1"/>
    <xf numFmtId="0" fontId="0" fillId="0" borderId="15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EDCE-4578-4FB1-8AF7-CCD11CEA079F}">
  <dimension ref="A1:J29"/>
  <sheetViews>
    <sheetView tabSelected="1" workbookViewId="0">
      <selection sqref="A1:A2"/>
    </sheetView>
  </sheetViews>
  <sheetFormatPr defaultRowHeight="15" x14ac:dyDescent="0.25"/>
  <cols>
    <col min="1" max="1" width="21.42578125" bestFit="1" customWidth="1"/>
    <col min="2" max="2" width="58.42578125" bestFit="1" customWidth="1"/>
    <col min="4" max="4" width="10.28515625" bestFit="1" customWidth="1"/>
    <col min="6" max="6" width="10.28515625" bestFit="1" customWidth="1"/>
    <col min="8" max="8" width="10.28515625" bestFit="1" customWidth="1"/>
    <col min="10" max="10" width="10.28515625" bestFit="1" customWidth="1"/>
  </cols>
  <sheetData>
    <row r="1" spans="1:10" x14ac:dyDescent="0.25">
      <c r="A1" s="36" t="s">
        <v>31</v>
      </c>
      <c r="B1" s="35" t="s">
        <v>26</v>
      </c>
      <c r="C1" s="19" t="s">
        <v>17</v>
      </c>
      <c r="D1" s="20"/>
      <c r="E1" s="20" t="s">
        <v>18</v>
      </c>
      <c r="F1" s="20"/>
      <c r="G1" s="20" t="s">
        <v>19</v>
      </c>
      <c r="H1" s="25"/>
      <c r="I1" s="19" t="s">
        <v>30</v>
      </c>
      <c r="J1" s="21"/>
    </row>
    <row r="2" spans="1:10" ht="15.75" thickBot="1" x14ac:dyDescent="0.3">
      <c r="A2" s="37"/>
      <c r="B2" s="34"/>
      <c r="C2" s="11" t="s">
        <v>20</v>
      </c>
      <c r="D2" s="12" t="s">
        <v>21</v>
      </c>
      <c r="E2" s="12" t="s">
        <v>20</v>
      </c>
      <c r="F2" s="12" t="s">
        <v>21</v>
      </c>
      <c r="G2" s="12" t="s">
        <v>20</v>
      </c>
      <c r="H2" s="26" t="s">
        <v>21</v>
      </c>
      <c r="I2" s="11" t="s">
        <v>20</v>
      </c>
      <c r="J2" s="13" t="s">
        <v>21</v>
      </c>
    </row>
    <row r="3" spans="1:10" x14ac:dyDescent="0.25">
      <c r="A3" s="3" t="s">
        <v>0</v>
      </c>
      <c r="B3" s="5" t="s">
        <v>1</v>
      </c>
      <c r="C3" s="3">
        <v>1</v>
      </c>
      <c r="D3" s="4">
        <v>1</v>
      </c>
      <c r="E3" s="4">
        <v>1</v>
      </c>
      <c r="F3" s="4">
        <v>1</v>
      </c>
      <c r="G3" s="4">
        <v>1</v>
      </c>
      <c r="H3" s="27">
        <v>1</v>
      </c>
      <c r="I3" s="3">
        <f>ROUND((C3+E3+G3)/3, 2)</f>
        <v>1</v>
      </c>
      <c r="J3" s="5">
        <f>ROUND((D3+F3+H3)/3, 2)</f>
        <v>1</v>
      </c>
    </row>
    <row r="4" spans="1:10" x14ac:dyDescent="0.25">
      <c r="A4" s="6" t="s">
        <v>0</v>
      </c>
      <c r="B4" s="7" t="s">
        <v>2</v>
      </c>
      <c r="C4" s="6">
        <v>1</v>
      </c>
      <c r="D4" s="1">
        <v>1</v>
      </c>
      <c r="E4" s="1">
        <v>1</v>
      </c>
      <c r="F4" s="1">
        <v>1</v>
      </c>
      <c r="G4" s="1">
        <v>1</v>
      </c>
      <c r="H4" s="28">
        <v>1</v>
      </c>
      <c r="I4" s="6">
        <f t="shared" ref="I4:I14" si="0">ROUND((C4+E4+G4)/3, 2)</f>
        <v>1</v>
      </c>
      <c r="J4" s="7">
        <f t="shared" ref="J4:J14" si="1">ROUND((D4+F4+H4)/3, 2)</f>
        <v>1</v>
      </c>
    </row>
    <row r="5" spans="1:10" x14ac:dyDescent="0.25">
      <c r="A5" s="6" t="s">
        <v>3</v>
      </c>
      <c r="B5" s="7" t="s">
        <v>4</v>
      </c>
      <c r="C5" s="6">
        <v>1</v>
      </c>
      <c r="D5" s="1">
        <v>1</v>
      </c>
      <c r="E5" s="1">
        <v>1</v>
      </c>
      <c r="F5" s="1">
        <v>1</v>
      </c>
      <c r="G5" s="1">
        <v>1</v>
      </c>
      <c r="H5" s="28">
        <v>1</v>
      </c>
      <c r="I5" s="6">
        <f t="shared" si="0"/>
        <v>1</v>
      </c>
      <c r="J5" s="7">
        <f t="shared" si="1"/>
        <v>1</v>
      </c>
    </row>
    <row r="6" spans="1:10" x14ac:dyDescent="0.25">
      <c r="A6" s="6" t="s">
        <v>3</v>
      </c>
      <c r="B6" s="7" t="s">
        <v>5</v>
      </c>
      <c r="C6" s="6">
        <v>1</v>
      </c>
      <c r="D6" s="1">
        <v>1</v>
      </c>
      <c r="E6" s="1">
        <v>1</v>
      </c>
      <c r="F6" s="1">
        <v>1</v>
      </c>
      <c r="G6" s="1">
        <v>1</v>
      </c>
      <c r="H6" s="28">
        <v>1</v>
      </c>
      <c r="I6" s="6">
        <f t="shared" si="0"/>
        <v>1</v>
      </c>
      <c r="J6" s="7">
        <f t="shared" si="1"/>
        <v>1</v>
      </c>
    </row>
    <row r="7" spans="1:10" x14ac:dyDescent="0.25">
      <c r="A7" s="6" t="s">
        <v>3</v>
      </c>
      <c r="B7" s="7" t="s">
        <v>6</v>
      </c>
      <c r="C7" s="6">
        <v>1</v>
      </c>
      <c r="D7" s="1">
        <v>1</v>
      </c>
      <c r="E7" s="1">
        <v>1</v>
      </c>
      <c r="F7" s="1">
        <v>1</v>
      </c>
      <c r="G7" s="1">
        <v>1</v>
      </c>
      <c r="H7" s="28">
        <v>1</v>
      </c>
      <c r="I7" s="6">
        <f t="shared" si="0"/>
        <v>1</v>
      </c>
      <c r="J7" s="7">
        <f t="shared" si="1"/>
        <v>1</v>
      </c>
    </row>
    <row r="8" spans="1:10" x14ac:dyDescent="0.25">
      <c r="A8" s="6" t="s">
        <v>7</v>
      </c>
      <c r="B8" s="7" t="s">
        <v>8</v>
      </c>
      <c r="C8" s="6">
        <v>1</v>
      </c>
      <c r="D8" s="1">
        <v>0.5</v>
      </c>
      <c r="E8" s="1">
        <v>1</v>
      </c>
      <c r="F8" s="1">
        <v>0.5</v>
      </c>
      <c r="G8" s="1">
        <v>1</v>
      </c>
      <c r="H8" s="28">
        <v>0.5</v>
      </c>
      <c r="I8" s="6">
        <f t="shared" si="0"/>
        <v>1</v>
      </c>
      <c r="J8" s="7">
        <f t="shared" si="1"/>
        <v>0.5</v>
      </c>
    </row>
    <row r="9" spans="1:10" x14ac:dyDescent="0.25">
      <c r="A9" s="6" t="s">
        <v>7</v>
      </c>
      <c r="B9" s="7" t="s">
        <v>9</v>
      </c>
      <c r="C9" s="6">
        <v>1</v>
      </c>
      <c r="D9" s="1">
        <v>1</v>
      </c>
      <c r="E9" s="1">
        <v>1</v>
      </c>
      <c r="F9" s="1">
        <v>0.5</v>
      </c>
      <c r="G9" s="1">
        <v>1</v>
      </c>
      <c r="H9" s="28">
        <v>1</v>
      </c>
      <c r="I9" s="6">
        <f t="shared" si="0"/>
        <v>1</v>
      </c>
      <c r="J9" s="7">
        <f t="shared" si="1"/>
        <v>0.83</v>
      </c>
    </row>
    <row r="10" spans="1:10" x14ac:dyDescent="0.25">
      <c r="A10" s="6" t="s">
        <v>7</v>
      </c>
      <c r="B10" s="7" t="s">
        <v>10</v>
      </c>
      <c r="C10" s="6">
        <v>0.5</v>
      </c>
      <c r="D10" s="1">
        <v>0</v>
      </c>
      <c r="E10" s="1">
        <v>0.5</v>
      </c>
      <c r="F10" s="1">
        <v>0</v>
      </c>
      <c r="G10" s="1">
        <v>0.5</v>
      </c>
      <c r="H10" s="28">
        <v>0</v>
      </c>
      <c r="I10" s="6">
        <f t="shared" si="0"/>
        <v>0.5</v>
      </c>
      <c r="J10" s="7">
        <f t="shared" si="1"/>
        <v>0</v>
      </c>
    </row>
    <row r="11" spans="1:10" x14ac:dyDescent="0.25">
      <c r="A11" s="6" t="s">
        <v>11</v>
      </c>
      <c r="B11" s="7" t="s">
        <v>12</v>
      </c>
      <c r="C11" s="6">
        <v>1</v>
      </c>
      <c r="D11" s="1">
        <v>1</v>
      </c>
      <c r="E11" s="1">
        <v>1</v>
      </c>
      <c r="F11" s="1">
        <v>0.5</v>
      </c>
      <c r="G11" s="1">
        <v>1</v>
      </c>
      <c r="H11" s="28">
        <v>1</v>
      </c>
      <c r="I11" s="6">
        <f t="shared" si="0"/>
        <v>1</v>
      </c>
      <c r="J11" s="7">
        <f t="shared" si="1"/>
        <v>0.83</v>
      </c>
    </row>
    <row r="12" spans="1:10" x14ac:dyDescent="0.25">
      <c r="A12" s="6" t="s">
        <v>13</v>
      </c>
      <c r="B12" s="7" t="s">
        <v>14</v>
      </c>
      <c r="C12" s="6">
        <v>1</v>
      </c>
      <c r="D12" s="1">
        <v>0.5</v>
      </c>
      <c r="E12" s="1">
        <v>1</v>
      </c>
      <c r="F12" s="1">
        <v>0.5</v>
      </c>
      <c r="G12" s="1">
        <v>1</v>
      </c>
      <c r="H12" s="28">
        <v>1</v>
      </c>
      <c r="I12" s="6">
        <f t="shared" si="0"/>
        <v>1</v>
      </c>
      <c r="J12" s="7">
        <f t="shared" si="1"/>
        <v>0.67</v>
      </c>
    </row>
    <row r="13" spans="1:10" x14ac:dyDescent="0.25">
      <c r="A13" s="6" t="s">
        <v>13</v>
      </c>
      <c r="B13" s="7" t="s">
        <v>15</v>
      </c>
      <c r="C13" s="6">
        <v>1</v>
      </c>
      <c r="D13" s="1">
        <v>0</v>
      </c>
      <c r="E13" s="1">
        <v>1</v>
      </c>
      <c r="F13" s="1">
        <v>0</v>
      </c>
      <c r="G13" s="1">
        <v>0.5</v>
      </c>
      <c r="H13" s="28">
        <v>0.5</v>
      </c>
      <c r="I13" s="6">
        <f t="shared" si="0"/>
        <v>0.83</v>
      </c>
      <c r="J13" s="7">
        <f t="shared" si="1"/>
        <v>0.17</v>
      </c>
    </row>
    <row r="14" spans="1:10" ht="15.75" thickBot="1" x14ac:dyDescent="0.3">
      <c r="A14" s="8" t="s">
        <v>13</v>
      </c>
      <c r="B14" s="16" t="s">
        <v>16</v>
      </c>
      <c r="C14" s="15">
        <v>0.5</v>
      </c>
      <c r="D14" s="2">
        <v>0</v>
      </c>
      <c r="E14" s="2">
        <v>1</v>
      </c>
      <c r="F14" s="2">
        <v>0</v>
      </c>
      <c r="G14" s="2">
        <v>0</v>
      </c>
      <c r="H14" s="29">
        <v>0.5</v>
      </c>
      <c r="I14" s="15">
        <f t="shared" si="0"/>
        <v>0.5</v>
      </c>
      <c r="J14" s="16">
        <f t="shared" si="1"/>
        <v>0.17</v>
      </c>
    </row>
    <row r="15" spans="1:10" x14ac:dyDescent="0.25">
      <c r="B15" s="41" t="s">
        <v>22</v>
      </c>
      <c r="C15" s="38" t="str">
        <f>SUM(C3:C14) &amp; " / 12"</f>
        <v>11 / 12</v>
      </c>
      <c r="D15" s="17" t="str">
        <f t="shared" ref="D15:H15" si="2">SUM(D3:D14) &amp; " / 12"</f>
        <v>8 / 12</v>
      </c>
      <c r="E15" s="17" t="str">
        <f t="shared" si="2"/>
        <v>11,5 / 12</v>
      </c>
      <c r="F15" s="17" t="str">
        <f t="shared" si="2"/>
        <v>7 / 12</v>
      </c>
      <c r="G15" s="17" t="str">
        <f t="shared" si="2"/>
        <v>10 / 12</v>
      </c>
      <c r="H15" s="30" t="str">
        <f t="shared" si="2"/>
        <v>9,5 / 12</v>
      </c>
      <c r="I15" s="14" t="str">
        <f>SUM(I3:I14) &amp; " / 12"</f>
        <v>10,83 / 12</v>
      </c>
      <c r="J15" s="18" t="str">
        <f>SUM(J3:J14) &amp; " / 12"</f>
        <v>8,17 / 12</v>
      </c>
    </row>
    <row r="16" spans="1:10" x14ac:dyDescent="0.25">
      <c r="B16" s="32" t="s">
        <v>23</v>
      </c>
      <c r="C16" s="39">
        <f>ROUND(SUM(C3:C14)/12*100,2)</f>
        <v>91.67</v>
      </c>
      <c r="D16" s="1">
        <f t="shared" ref="D16:H16" si="3">ROUND(SUM(D3:D14)/12*100,2)</f>
        <v>66.67</v>
      </c>
      <c r="E16" s="1">
        <f t="shared" si="3"/>
        <v>95.83</v>
      </c>
      <c r="F16" s="1">
        <f t="shared" si="3"/>
        <v>58.33</v>
      </c>
      <c r="G16" s="1">
        <f t="shared" si="3"/>
        <v>83.33</v>
      </c>
      <c r="H16" s="28">
        <f t="shared" si="3"/>
        <v>79.17</v>
      </c>
      <c r="I16" s="6">
        <f>ROUND(SUM(I3:I14)/12*100,2)</f>
        <v>90.25</v>
      </c>
      <c r="J16" s="7">
        <f>ROUND(SUM(J3:J14)/12*100,2)</f>
        <v>68.08</v>
      </c>
    </row>
    <row r="17" spans="1:10" x14ac:dyDescent="0.25">
      <c r="B17" s="32" t="s">
        <v>24</v>
      </c>
      <c r="C17" s="39">
        <f>ROUND(AVERAGE(C3:C14),2)</f>
        <v>0.92</v>
      </c>
      <c r="D17" s="1">
        <f t="shared" ref="D17:H17" si="4">ROUND(AVERAGE(D3:D14),2)</f>
        <v>0.67</v>
      </c>
      <c r="E17" s="1">
        <f t="shared" si="4"/>
        <v>0.96</v>
      </c>
      <c r="F17" s="1">
        <f t="shared" si="4"/>
        <v>0.57999999999999996</v>
      </c>
      <c r="G17" s="1">
        <f t="shared" si="4"/>
        <v>0.83</v>
      </c>
      <c r="H17" s="28">
        <f t="shared" si="4"/>
        <v>0.79</v>
      </c>
      <c r="I17" s="6">
        <f>ROUND(AVERAGE(I3:I14),2)</f>
        <v>0.9</v>
      </c>
      <c r="J17" s="7">
        <f>ROUND(AVERAGE(J3:J14),2)</f>
        <v>0.68</v>
      </c>
    </row>
    <row r="18" spans="1:10" ht="15.75" thickBot="1" x14ac:dyDescent="0.3">
      <c r="B18" s="33" t="s">
        <v>25</v>
      </c>
      <c r="C18" s="40">
        <f>ROUND(_xlfn.STDEV.P(C3:C14),2)</f>
        <v>0.19</v>
      </c>
      <c r="D18" s="9">
        <f t="shared" ref="D18:H18" si="5">ROUND(_xlfn.STDEV.P(D3:D14),2)</f>
        <v>0.42</v>
      </c>
      <c r="E18" s="9">
        <f t="shared" si="5"/>
        <v>0.14000000000000001</v>
      </c>
      <c r="F18" s="9">
        <f t="shared" si="5"/>
        <v>0.4</v>
      </c>
      <c r="G18" s="9">
        <f t="shared" si="5"/>
        <v>0.31</v>
      </c>
      <c r="H18" s="31">
        <f t="shared" si="5"/>
        <v>0.32</v>
      </c>
      <c r="I18" s="8">
        <f>ROUND(_xlfn.STDEV.P(I3:I14),2)</f>
        <v>0.19</v>
      </c>
      <c r="J18" s="10">
        <f>ROUND(_xlfn.STDEV.P(J3:J14),2)</f>
        <v>0.36</v>
      </c>
    </row>
    <row r="21" spans="1:10" x14ac:dyDescent="0.25">
      <c r="A21" s="23" t="s">
        <v>29</v>
      </c>
    </row>
    <row r="22" spans="1:10" x14ac:dyDescent="0.25">
      <c r="A22" t="s">
        <v>20</v>
      </c>
      <c r="B22">
        <v>0.51</v>
      </c>
    </row>
    <row r="23" spans="1:10" x14ac:dyDescent="0.25">
      <c r="A23" t="s">
        <v>21</v>
      </c>
      <c r="B23">
        <v>0.53</v>
      </c>
    </row>
    <row r="25" spans="1:10" x14ac:dyDescent="0.25">
      <c r="A25" s="23" t="s">
        <v>27</v>
      </c>
    </row>
    <row r="26" spans="1:10" x14ac:dyDescent="0.25">
      <c r="A26" t="s">
        <v>20</v>
      </c>
      <c r="B26" s="22">
        <v>0.83330000000000004</v>
      </c>
    </row>
    <row r="27" spans="1:10" x14ac:dyDescent="0.25">
      <c r="A27" t="s">
        <v>21</v>
      </c>
      <c r="B27" s="22">
        <v>0.58330000000000004</v>
      </c>
    </row>
    <row r="29" spans="1:10" x14ac:dyDescent="0.25">
      <c r="A29" s="24" t="s">
        <v>28</v>
      </c>
    </row>
  </sheetData>
  <mergeCells count="6">
    <mergeCell ref="C1:D1"/>
    <mergeCell ref="E1:F1"/>
    <mergeCell ref="G1:H1"/>
    <mergeCell ref="I1:J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Horvat</dc:creator>
  <cp:lastModifiedBy>Marko Horvat</cp:lastModifiedBy>
  <dcterms:created xsi:type="dcterms:W3CDTF">2026-06-11T12:32:50Z</dcterms:created>
  <dcterms:modified xsi:type="dcterms:W3CDTF">2026-06-17T21:17:43Z</dcterms:modified>
</cp:coreProperties>
</file>